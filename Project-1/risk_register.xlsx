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<sst xmlns="http://schemas.openxmlformats.org/spreadsheetml/2006/main" count="120" uniqueCount="108">
  <si>
    <t xml:space="preserve">CloudSync Technologies - Information Security Risk Register</t>
  </si>
  <si>
    <t xml:space="preserve">Risk ID</t>
  </si>
  <si>
    <t xml:space="preserve">Risk Description</t>
  </si>
  <si>
    <t xml:space="preserve">Asset/Process</t>
  </si>
  <si>
    <t xml:space="preserve">Threat</t>
  </si>
  <si>
    <t xml:space="preserve">Vulnerability</t>
  </si>
  <si>
    <t xml:space="preserve">Likelihood (1-5)</t>
  </si>
  <si>
    <t xml:space="preserve">Impact (1-5)</t>
  </si>
  <si>
    <t xml:space="preserve">Risk Score</t>
  </si>
  <si>
    <t xml:space="preserve">Risk Level</t>
  </si>
  <si>
    <t xml:space="preserve">Treatment Plan</t>
  </si>
  <si>
    <t xml:space="preserve">Owner</t>
  </si>
  <si>
    <t xml:space="preserve">R-001</t>
  </si>
  <si>
    <t xml:space="preserve">Unauthorized access to customer data due to weak authentication</t>
  </si>
  <si>
    <t xml:space="preserve">Customer Database</t>
  </si>
  <si>
    <t xml:space="preserve">Malicious Actor</t>
  </si>
  <si>
    <t xml:space="preserve">No MFA on admin accounts</t>
  </si>
  <si>
    <t xml:space="preserve">Critical</t>
  </si>
  <si>
    <t xml:space="preserve">Implement MFA for all privileged accounts within 60 days</t>
  </si>
  <si>
    <t xml:space="preserve">IT Security Lead</t>
  </si>
  <si>
    <t xml:space="preserve">R-002</t>
  </si>
  <si>
    <t xml:space="preserve">Data breach from unpatched vulnerabilities</t>
  </si>
  <si>
    <t xml:space="preserve">Production Servers</t>
  </si>
  <si>
    <t xml:space="preserve">Cyber Attackers</t>
  </si>
  <si>
    <t xml:space="preserve">Delayed patching process</t>
  </si>
  <si>
    <t xml:space="preserve">Establish 30-day patch SLA and automated scanning</t>
  </si>
  <si>
    <t xml:space="preserve">Security Manager</t>
  </si>
  <si>
    <t xml:space="preserve">R-003</t>
  </si>
  <si>
    <t xml:space="preserve">Ransomware attack impacting business operations</t>
  </si>
  <si>
    <t xml:space="preserve">All Systems</t>
  </si>
  <si>
    <t xml:space="preserve">Ransomware Groups</t>
  </si>
  <si>
    <t xml:space="preserve">Insufficient backup testing</t>
  </si>
  <si>
    <t xml:space="preserve">High</t>
  </si>
  <si>
    <t xml:space="preserve">Implement immutable backups and quarterly DR tests</t>
  </si>
  <si>
    <t xml:space="preserve">IT Manager</t>
  </si>
  <si>
    <t xml:space="preserve">R-004</t>
  </si>
  <si>
    <t xml:space="preserve">Insider threat - data exfiltration by employee</t>
  </si>
  <si>
    <t xml:space="preserve">Sensitive Data</t>
  </si>
  <si>
    <t xml:space="preserve">Malicious Insider</t>
  </si>
  <si>
    <t xml:space="preserve">No DLP solution</t>
  </si>
  <si>
    <t xml:space="preserve">Medium</t>
  </si>
  <si>
    <t xml:space="preserve">Deploy DLP solution and user activity monitoring</t>
  </si>
  <si>
    <t xml:space="preserve">CISO</t>
  </si>
  <si>
    <t xml:space="preserve">R-005</t>
  </si>
  <si>
    <t xml:space="preserve">Cloud misconfiguration exposing data publicly</t>
  </si>
  <si>
    <t xml:space="preserve">AWS S3 Buckets</t>
  </si>
  <si>
    <t xml:space="preserve">Misconfiguration</t>
  </si>
  <si>
    <t xml:space="preserve">Lack of configuration standards</t>
  </si>
  <si>
    <t xml:space="preserve">Implement cloud security posture management tool</t>
  </si>
  <si>
    <t xml:space="preserve">Cloud Architect</t>
  </si>
  <si>
    <t xml:space="preserve">R-006</t>
  </si>
  <si>
    <t xml:space="preserve">Phishing attack compromising user credentials</t>
  </si>
  <si>
    <t xml:space="preserve">Email System</t>
  </si>
  <si>
    <t xml:space="preserve">Phishing Attackers</t>
  </si>
  <si>
    <t xml:space="preserve">Limited security awareness</t>
  </si>
  <si>
    <t xml:space="preserve">Conduct quarterly phishing simulations and training</t>
  </si>
  <si>
    <t xml:space="preserve">R-007</t>
  </si>
  <si>
    <t xml:space="preserve">Third-party vendor data breach</t>
  </si>
  <si>
    <t xml:space="preserve">Vendor Systems</t>
  </si>
  <si>
    <t xml:space="preserve">Supply Chain Attack</t>
  </si>
  <si>
    <t xml:space="preserve">No vendor security assessments</t>
  </si>
  <si>
    <t xml:space="preserve">Implement third-party risk management program</t>
  </si>
  <si>
    <t xml:space="preserve">Compliance Manager</t>
  </si>
  <si>
    <t xml:space="preserve">R-008</t>
  </si>
  <si>
    <t xml:space="preserve">Loss of data due to inadequate backup procedures</t>
  </si>
  <si>
    <t xml:space="preserve">Critical Data</t>
  </si>
  <si>
    <t xml:space="preserve">Hardware Failure</t>
  </si>
  <si>
    <t xml:space="preserve">Untested backup restoration</t>
  </si>
  <si>
    <t xml:space="preserve">Document and test backup/restore procedures monthly</t>
  </si>
  <si>
    <t xml:space="preserve">IT Operations</t>
  </si>
  <si>
    <t xml:space="preserve">R-009</t>
  </si>
  <si>
    <t xml:space="preserve">Compliance violation due to lack of audit trail</t>
  </si>
  <si>
    <t xml:space="preserve">Audit Logs</t>
  </si>
  <si>
    <t xml:space="preserve">Regulatory Audit</t>
  </si>
  <si>
    <t xml:space="preserve">Insufficient logging</t>
  </si>
  <si>
    <t xml:space="preserve">Implement centralized logging with 1-year retention</t>
  </si>
  <si>
    <t xml:space="preserve">R-010</t>
  </si>
  <si>
    <t xml:space="preserve">API security vulnerabilities exposing data</t>
  </si>
  <si>
    <t xml:space="preserve">API Gateway</t>
  </si>
  <si>
    <t xml:space="preserve">API Exploitation</t>
  </si>
  <si>
    <t xml:space="preserve">Weak API authentication</t>
  </si>
  <si>
    <t xml:space="preserve">Implement API gateway with rate limiting and OAuth 2.0</t>
  </si>
  <si>
    <t xml:space="preserve">Dev Manager</t>
  </si>
  <si>
    <t xml:space="preserve">R-011</t>
  </si>
  <si>
    <t xml:space="preserve">Physical security breach at office location</t>
  </si>
  <si>
    <t xml:space="preserve">Office Premises</t>
  </si>
  <si>
    <t xml:space="preserve">Unauthorized Entry</t>
  </si>
  <si>
    <t xml:space="preserve">No monitoring system</t>
  </si>
  <si>
    <t xml:space="preserve">Install surveillance cameras and access logs</t>
  </si>
  <si>
    <t xml:space="preserve">Facilities Manager</t>
  </si>
  <si>
    <t xml:space="preserve">R-012</t>
  </si>
  <si>
    <t xml:space="preserve">Mobile device loss containing sensitive data</t>
  </si>
  <si>
    <t xml:space="preserve">Corporate Devices</t>
  </si>
  <si>
    <t xml:space="preserve">Device Theft/Loss</t>
  </si>
  <si>
    <t xml:space="preserve">No remote wipe capability</t>
  </si>
  <si>
    <t xml:space="preserve">Deploy MDM solution with encryption and remote wipe</t>
  </si>
  <si>
    <t xml:space="preserve">Risk Summary</t>
  </si>
  <si>
    <t xml:space="preserve">Total Risks:</t>
  </si>
  <si>
    <t xml:space="preserve">Critical Risks:</t>
  </si>
  <si>
    <t xml:space="preserve">Average Risk Score:</t>
  </si>
  <si>
    <t xml:space="preserve">High Risks:</t>
  </si>
  <si>
    <t xml:space="preserve">Risks Requiring Immediate Action:</t>
  </si>
  <si>
    <t xml:space="preserve">Medium Risks:</t>
  </si>
  <si>
    <t xml:space="preserve">Risk Scoring Methodology:</t>
  </si>
  <si>
    <t xml:space="preserve">Likelihood Scale: 1=Rare, 2=Unlikely, 3=Possible, 4=Likely, 5=Almost Certain</t>
  </si>
  <si>
    <t xml:space="preserve">Impact Scale: 1=Negligible, 2=Minor, 3=Moderate, 4=Major, 5=Catastrophic</t>
  </si>
  <si>
    <t xml:space="preserve">Risk Score = Likelihood × Impact</t>
  </si>
  <si>
    <t xml:space="preserve">Risk Levels: Critical (≥15), High (10-14), Medium (5-9), Low (&lt;5)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</si>
</sst>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4472C4"/>
        <bgColor rgb="FF666699"/>
      </patternFill>
    </fill>
    <fill>
      <patternFill patternType="solid">
        <fgColor rgb="FFFF6B6B"/>
        <bgColor rgb="FFFF6600"/>
      </patternFill>
    </fill>
    <fill>
      <patternFill patternType="solid">
        <fgColor rgb="FFFFE699"/>
        <bgColor rgb="FFFFCC99"/>
      </patternFill>
    </fill>
    <fill>
      <patternFill patternType="solid">
        <fgColor rgb="FFE7E6E6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6B6B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5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7" min="6" style="1" width="12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35"/>
    <col collapsed="false" customWidth="true" hidden="false" outlineLevel="0" max="11" min="11" style="1" width="18"/>
  </cols>
  <sheetData>
    <row r="1" customFormat="false" ht="24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4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customFormat="false" ht="45" hidden="false" customHeight="tru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5" t="n">
        <v>4</v>
      </c>
      <c r="G3" s="5" t="n">
        <v>5</v>
      </c>
      <c r="H3" s="5" t="n">
        <f aca="false">F3*G3</f>
        <v>20</v>
      </c>
      <c r="I3" s="6" t="s">
        <v>17</v>
      </c>
      <c r="J3" s="4" t="s">
        <v>18</v>
      </c>
      <c r="K3" s="4" t="s">
        <v>19</v>
      </c>
    </row>
    <row r="4" customFormat="false" ht="45" hidden="false" customHeight="true" outlineLevel="0" collapsed="false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5" t="n">
        <v>4</v>
      </c>
      <c r="G4" s="5" t="n">
        <v>5</v>
      </c>
      <c r="H4" s="5" t="n">
        <f aca="false">F4*G4</f>
        <v>20</v>
      </c>
      <c r="I4" s="6" t="s">
        <v>17</v>
      </c>
      <c r="J4" s="4" t="s">
        <v>25</v>
      </c>
      <c r="K4" s="4" t="s">
        <v>26</v>
      </c>
    </row>
    <row r="5" customFormat="false" ht="45" hidden="false" customHeight="true" outlineLevel="0" collapsed="false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5" t="n">
        <v>3</v>
      </c>
      <c r="G5" s="5" t="n">
        <v>5</v>
      </c>
      <c r="H5" s="5" t="n">
        <f aca="false">F5*G5</f>
        <v>15</v>
      </c>
      <c r="I5" s="7" t="s">
        <v>32</v>
      </c>
      <c r="J5" s="4" t="s">
        <v>33</v>
      </c>
      <c r="K5" s="4" t="s">
        <v>34</v>
      </c>
    </row>
    <row r="6" customFormat="false" ht="45" hidden="false" customHeight="true" outlineLevel="0" collapsed="false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5" t="n">
        <v>2</v>
      </c>
      <c r="G6" s="5" t="n">
        <v>4</v>
      </c>
      <c r="H6" s="5" t="n">
        <f aca="false">F6*G6</f>
        <v>8</v>
      </c>
      <c r="I6" s="8" t="s">
        <v>40</v>
      </c>
      <c r="J6" s="4" t="s">
        <v>41</v>
      </c>
      <c r="K6" s="4" t="s">
        <v>42</v>
      </c>
    </row>
    <row r="7" customFormat="false" ht="45" hidden="false" customHeight="true" outlineLevel="0" collapsed="false">
      <c r="A7" s="4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5" t="n">
        <v>3</v>
      </c>
      <c r="G7" s="5" t="n">
        <v>4</v>
      </c>
      <c r="H7" s="5" t="n">
        <f aca="false">F7*G7</f>
        <v>12</v>
      </c>
      <c r="I7" s="7" t="s">
        <v>32</v>
      </c>
      <c r="J7" s="4" t="s">
        <v>48</v>
      </c>
      <c r="K7" s="4" t="s">
        <v>49</v>
      </c>
    </row>
    <row r="8" customFormat="false" ht="45" hidden="false" customHeight="true" outlineLevel="0" collapsed="false">
      <c r="A8" s="4" t="s">
        <v>50</v>
      </c>
      <c r="B8" s="4" t="s">
        <v>51</v>
      </c>
      <c r="C8" s="4" t="s">
        <v>52</v>
      </c>
      <c r="D8" s="4" t="s">
        <v>53</v>
      </c>
      <c r="E8" s="4" t="s">
        <v>54</v>
      </c>
      <c r="F8" s="5" t="n">
        <v>4</v>
      </c>
      <c r="G8" s="5" t="n">
        <v>3</v>
      </c>
      <c r="H8" s="5" t="n">
        <f aca="false">F8*G8</f>
        <v>12</v>
      </c>
      <c r="I8" s="7" t="s">
        <v>32</v>
      </c>
      <c r="J8" s="4" t="s">
        <v>55</v>
      </c>
      <c r="K8" s="4" t="s">
        <v>26</v>
      </c>
    </row>
    <row r="9" customFormat="false" ht="45" hidden="false" customHeight="true" outlineLevel="0" collapsed="false">
      <c r="A9" s="4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5" t="n">
        <v>3</v>
      </c>
      <c r="G9" s="5" t="n">
        <v>4</v>
      </c>
      <c r="H9" s="5" t="n">
        <f aca="false">F9*G9</f>
        <v>12</v>
      </c>
      <c r="I9" s="7" t="s">
        <v>32</v>
      </c>
      <c r="J9" s="4" t="s">
        <v>61</v>
      </c>
      <c r="K9" s="4" t="s">
        <v>62</v>
      </c>
    </row>
    <row r="10" customFormat="false" ht="45" hidden="false" customHeight="true" outlineLevel="0" collapsed="false">
      <c r="A10" s="4" t="s">
        <v>63</v>
      </c>
      <c r="B10" s="4" t="s">
        <v>64</v>
      </c>
      <c r="C10" s="4" t="s">
        <v>65</v>
      </c>
      <c r="D10" s="4" t="s">
        <v>66</v>
      </c>
      <c r="E10" s="4" t="s">
        <v>67</v>
      </c>
      <c r="F10" s="5" t="n">
        <v>2</v>
      </c>
      <c r="G10" s="5" t="n">
        <v>4</v>
      </c>
      <c r="H10" s="5" t="n">
        <f aca="false">F10*G10</f>
        <v>8</v>
      </c>
      <c r="I10" s="8" t="s">
        <v>40</v>
      </c>
      <c r="J10" s="4" t="s">
        <v>68</v>
      </c>
      <c r="K10" s="4" t="s">
        <v>69</v>
      </c>
    </row>
    <row r="11" customFormat="false" ht="45" hidden="false" customHeight="true" outlineLevel="0" collapsed="false">
      <c r="A11" s="4" t="s">
        <v>70</v>
      </c>
      <c r="B11" s="4" t="s">
        <v>71</v>
      </c>
      <c r="C11" s="4" t="s">
        <v>72</v>
      </c>
      <c r="D11" s="4" t="s">
        <v>73</v>
      </c>
      <c r="E11" s="4" t="s">
        <v>74</v>
      </c>
      <c r="F11" s="5" t="n">
        <v>3</v>
      </c>
      <c r="G11" s="5" t="n">
        <v>3</v>
      </c>
      <c r="H11" s="5" t="n">
        <f aca="false">F11*G11</f>
        <v>9</v>
      </c>
      <c r="I11" s="8" t="s">
        <v>40</v>
      </c>
      <c r="J11" s="4" t="s">
        <v>75</v>
      </c>
      <c r="K11" s="4" t="s">
        <v>62</v>
      </c>
    </row>
    <row r="12" customFormat="false" ht="45" hidden="false" customHeight="true" outlineLevel="0" collapsed="false">
      <c r="A12" s="4" t="s">
        <v>76</v>
      </c>
      <c r="B12" s="4" t="s">
        <v>77</v>
      </c>
      <c r="C12" s="4" t="s">
        <v>78</v>
      </c>
      <c r="D12" s="4" t="s">
        <v>79</v>
      </c>
      <c r="E12" s="4" t="s">
        <v>80</v>
      </c>
      <c r="F12" s="5" t="n">
        <v>3</v>
      </c>
      <c r="G12" s="5" t="n">
        <v>4</v>
      </c>
      <c r="H12" s="5" t="n">
        <f aca="false">F12*G12</f>
        <v>12</v>
      </c>
      <c r="I12" s="7" t="s">
        <v>32</v>
      </c>
      <c r="J12" s="4" t="s">
        <v>81</v>
      </c>
      <c r="K12" s="4" t="s">
        <v>82</v>
      </c>
    </row>
    <row r="13" customFormat="false" ht="45" hidden="false" customHeight="true" outlineLevel="0" collapsed="false">
      <c r="A13" s="4" t="s">
        <v>83</v>
      </c>
      <c r="B13" s="4" t="s">
        <v>84</v>
      </c>
      <c r="C13" s="4" t="s">
        <v>85</v>
      </c>
      <c r="D13" s="4" t="s">
        <v>86</v>
      </c>
      <c r="E13" s="4" t="s">
        <v>87</v>
      </c>
      <c r="F13" s="5" t="n">
        <v>2</v>
      </c>
      <c r="G13" s="5" t="n">
        <v>3</v>
      </c>
      <c r="H13" s="5" t="n">
        <f aca="false">F13*G13</f>
        <v>6</v>
      </c>
      <c r="I13" s="8" t="s">
        <v>40</v>
      </c>
      <c r="J13" s="4" t="s">
        <v>88</v>
      </c>
      <c r="K13" s="4" t="s">
        <v>89</v>
      </c>
    </row>
    <row r="14" customFormat="false" ht="45" hidden="false" customHeight="true" outlineLevel="0" collapsed="false">
      <c r="A14" s="4" t="s">
        <v>90</v>
      </c>
      <c r="B14" s="4" t="s">
        <v>91</v>
      </c>
      <c r="C14" s="4" t="s">
        <v>92</v>
      </c>
      <c r="D14" s="4" t="s">
        <v>93</v>
      </c>
      <c r="E14" s="4" t="s">
        <v>94</v>
      </c>
      <c r="F14" s="5" t="n">
        <v>3</v>
      </c>
      <c r="G14" s="5" t="n">
        <v>3</v>
      </c>
      <c r="H14" s="5" t="n">
        <f aca="false">F14*G14</f>
        <v>9</v>
      </c>
      <c r="I14" s="8" t="s">
        <v>40</v>
      </c>
      <c r="J14" s="4" t="s">
        <v>95</v>
      </c>
      <c r="K14" s="4" t="s">
        <v>34</v>
      </c>
    </row>
    <row r="17" customFormat="false" ht="15" hidden="false" customHeight="false" outlineLevel="0" collapsed="false">
      <c r="A17" s="9" t="s">
        <v>96</v>
      </c>
      <c r="B17" s="9"/>
      <c r="C17" s="9"/>
      <c r="D17" s="9"/>
    </row>
    <row r="18" customFormat="false" ht="15" hidden="false" customHeight="false" outlineLevel="0" collapsed="false">
      <c r="A18" s="10" t="s">
        <v>97</v>
      </c>
      <c r="B18" s="10" t="n">
        <f aca="false">COUNTA(A3:A14)</f>
        <v>12</v>
      </c>
      <c r="C18" s="10" t="s">
        <v>98</v>
      </c>
      <c r="D18" s="10" t="n">
        <f aca="false">COUNTIF(I3:I14,"Critical")</f>
        <v>2</v>
      </c>
    </row>
    <row r="19" customFormat="false" ht="15" hidden="false" customHeight="false" outlineLevel="0" collapsed="false">
      <c r="A19" s="10" t="s">
        <v>99</v>
      </c>
      <c r="B19" s="11" t="n">
        <f aca="false">AVERAGE(H3:H14)</f>
        <v>11.9166666666667</v>
      </c>
      <c r="C19" s="10" t="s">
        <v>100</v>
      </c>
      <c r="D19" s="10" t="n">
        <f aca="false">COUNTIF(I3:I14,"High")</f>
        <v>5</v>
      </c>
    </row>
    <row r="20" customFormat="false" ht="15" hidden="false" customHeight="false" outlineLevel="0" collapsed="false">
      <c r="A20" s="10" t="s">
        <v>101</v>
      </c>
      <c r="B20" s="10" t="n">
        <f aca="false">COUNTIF(I3:I14,"Critical")+COUNTIF(I3:I14,"High")</f>
        <v>7</v>
      </c>
      <c r="C20" s="10" t="s">
        <v>102</v>
      </c>
      <c r="D20" s="10" t="n">
        <f aca="false">COUNTIF(I3:I14,"Medium")</f>
        <v>5</v>
      </c>
    </row>
    <row r="23" customFormat="false" ht="15" hidden="false" customHeight="false" outlineLevel="0" collapsed="false">
      <c r="A23" s="12" t="s">
        <v>103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customFormat="false" ht="15" hidden="false" customHeight="false" outlineLevel="0" collapsed="false">
      <c r="A24" s="12" t="s">
        <v>104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customFormat="false" ht="15" hidden="false" customHeight="false" outlineLevel="0" collapsed="false">
      <c r="A25" s="12" t="s">
        <v>105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customFormat="false" ht="15" hidden="false" customHeight="false" outlineLevel="0" collapsed="false">
      <c r="A26" s="12" t="s">
        <v>106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customFormat="false" ht="15" hidden="false" customHeight="false" outlineLevel="0" collapsed="false">
      <c r="A27" s="12" t="s">
        <v>107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</row>
  </sheetData>
  <mergeCells count="7">
    <mergeCell ref="A1:K1"/>
    <mergeCell ref="A17:D17"/>
    <mergeCell ref="A23:K23"/>
    <mergeCell ref="A24:K24"/>
    <mergeCell ref="A25:K25"/>
    <mergeCell ref="A26:K26"/>
    <mergeCell ref="A27:K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2026-02-15T13:14:20Z</dcterms:created>
  <dc:creator>openpyxl</dc:creator>
  <dc:description/>
  <dc:language>en-US</dc:language>
  <cp:lastModifiedBy/>
  <dcterms:modified xsi:type="dcterms:W3CDTF">2026-02-15T13:14:59Z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