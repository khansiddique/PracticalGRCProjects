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<sst xmlns="http://schemas.openxmlformats.org/spreadsheetml/2006/main" count="183" uniqueCount="123">
  <si>
    <t xml:space="preserve">CloudSync Technologies - ISO 27001:2022 Control Matrix</t>
  </si>
  <si>
    <t xml:space="preserve">Control ID</t>
  </si>
  <si>
    <t xml:space="preserve">Control Name</t>
  </si>
  <si>
    <t xml:space="preserve">Domain</t>
  </si>
  <si>
    <t xml:space="preserve">Requirement</t>
  </si>
  <si>
    <t xml:space="preserve">Current Status</t>
  </si>
  <si>
    <t xml:space="preserve">Maturity Level</t>
  </si>
  <si>
    <t xml:space="preserve">Owner</t>
  </si>
  <si>
    <t xml:space="preserve">Gap/Action Required</t>
  </si>
  <si>
    <t xml:space="preserve">A.5.1</t>
  </si>
  <si>
    <t xml:space="preserve">Policies for Information Security</t>
  </si>
  <si>
    <t xml:space="preserve">Organizational</t>
  </si>
  <si>
    <t xml:space="preserve">Information security policies shall be defined, approved by management, published, communicated to and acknowledged by relevant personnel and relevant interested parties, and reviewed at planned intervals</t>
  </si>
  <si>
    <t xml:space="preserve">Partially Implemented</t>
  </si>
  <si>
    <t xml:space="preserve">Level 2</t>
  </si>
  <si>
    <t xml:space="preserve">CISO</t>
  </si>
  <si>
    <t xml:space="preserve">Policy exists but needs annual review schedule and formal acknowledgment tracking</t>
  </si>
  <si>
    <t xml:space="preserve">A.5.7</t>
  </si>
  <si>
    <t xml:space="preserve">Threat Intelligence</t>
  </si>
  <si>
    <t xml:space="preserve">Information related to information security threats shall be collected and analysed to produce threat intelligence</t>
  </si>
  <si>
    <t xml:space="preserve">Not Implemented</t>
  </si>
  <si>
    <t xml:space="preserve">Level 1</t>
  </si>
  <si>
    <t xml:space="preserve">Security Manager</t>
  </si>
  <si>
    <t xml:space="preserve">No threat intelligence program in place. Need to subscribe to threat feeds and establish monitoring</t>
  </si>
  <si>
    <t xml:space="preserve">A.5.10</t>
  </si>
  <si>
    <t xml:space="preserve">Acceptable Use of Information</t>
  </si>
  <si>
    <t xml:space="preserve">Rules for the acceptable use and procedures for handling information shall be identified, documented and implemented</t>
  </si>
  <si>
    <t xml:space="preserve">Implemented</t>
  </si>
  <si>
    <t xml:space="preserve">Level 3</t>
  </si>
  <si>
    <t xml:space="preserve">IT Manager</t>
  </si>
  <si>
    <t xml:space="preserve">Acceptable Use Policy in place, acknowledged by all employees during onboarding</t>
  </si>
  <si>
    <t xml:space="preserve">A.5.23</t>
  </si>
  <si>
    <t xml:space="preserve">Information Security for Cloud Services</t>
  </si>
  <si>
    <t xml:space="preserve">Processes for acquisition, use, management and exit from cloud services shall be established</t>
  </si>
  <si>
    <t xml:space="preserve">Cloud Architect</t>
  </si>
  <si>
    <t xml:space="preserve">Cloud usage guidelines exist but need formal vendor assessment process and exit strategy documentation</t>
  </si>
  <si>
    <t xml:space="preserve">A.6.2</t>
  </si>
  <si>
    <t xml:space="preserve">Remote Working</t>
  </si>
  <si>
    <t xml:space="preserve">People</t>
  </si>
  <si>
    <t xml:space="preserve">Security measures shall be implemented when personnel are working remotely</t>
  </si>
  <si>
    <t xml:space="preserve">HR Manager</t>
  </si>
  <si>
    <t xml:space="preserve">Remote work security policy implemented with VPN, endpoint protection, and security awareness</t>
  </si>
  <si>
    <t xml:space="preserve">A.6.6</t>
  </si>
  <si>
    <t xml:space="preserve">Confidentiality Agreements</t>
  </si>
  <si>
    <t xml:space="preserve">Confidentiality or non-disclosure agreements reflecting the organization needs for the protection of information shall be identified</t>
  </si>
  <si>
    <t xml:space="preserve">Legal/HR</t>
  </si>
  <si>
    <t xml:space="preserve">NDAs signed by all employees, contractors, and relevant third parties</t>
  </si>
  <si>
    <t xml:space="preserve">A.6.8</t>
  </si>
  <si>
    <t xml:space="preserve">Information Security Event Reporting</t>
  </si>
  <si>
    <t xml:space="preserve">The organization shall provide a mechanism for personnel to report observed or suspected information security events</t>
  </si>
  <si>
    <t xml:space="preserve">Email reporting exists but need formal incident reporting system and response procedures</t>
  </si>
  <si>
    <t xml:space="preserve">A.7.4</t>
  </si>
  <si>
    <t xml:space="preserve">Physical Security Monitoring</t>
  </si>
  <si>
    <t xml:space="preserve">Physical</t>
  </si>
  <si>
    <t xml:space="preserve">Premises shall be continuously monitored for unauthorized physical access</t>
  </si>
  <si>
    <t xml:space="preserve">Facilities Manager</t>
  </si>
  <si>
    <t xml:space="preserve">Office has basic access control but lacks 24/7 monitoring and surveillance system</t>
  </si>
  <si>
    <t xml:space="preserve">A.8.2</t>
  </si>
  <si>
    <t xml:space="preserve">Privileged Access Rights</t>
  </si>
  <si>
    <t xml:space="preserve">Technological</t>
  </si>
  <si>
    <t xml:space="preserve">The allocation and use of privileged access rights shall be restricted and managed</t>
  </si>
  <si>
    <t xml:space="preserve">IT Security</t>
  </si>
  <si>
    <t xml:space="preserve">Privileged accounts exist but need MFA enforcement, regular access reviews, and PAM solution</t>
  </si>
  <si>
    <t xml:space="preserve">A.8.3</t>
  </si>
  <si>
    <t xml:space="preserve">Information Access Restriction</t>
  </si>
  <si>
    <t xml:space="preserve">Access to information and other associated assets shall be restricted</t>
  </si>
  <si>
    <t xml:space="preserve">Role-based access control implemented across all systems with quarterly reviews</t>
  </si>
  <si>
    <t xml:space="preserve">A.8.5</t>
  </si>
  <si>
    <t xml:space="preserve">Secure Authentication</t>
  </si>
  <si>
    <t xml:space="preserve">Secure authentication technologies and procedures shall be implemented</t>
  </si>
  <si>
    <t xml:space="preserve">SSO and MFA implemented for most systems but not enforced organization-wide</t>
  </si>
  <si>
    <t xml:space="preserve">A.8.8</t>
  </si>
  <si>
    <t xml:space="preserve">Management of Technical Vulnerabilities</t>
  </si>
  <si>
    <t xml:space="preserve">Information about technical vulnerabilities of systems shall be obtained, exposure assessed and measures taken</t>
  </si>
  <si>
    <t xml:space="preserve">Vulnerability scanning in place but needs formal patch management process and SLA</t>
  </si>
  <si>
    <t xml:space="preserve">A.8.9</t>
  </si>
  <si>
    <t xml:space="preserve">Configuration Management</t>
  </si>
  <si>
    <t xml:space="preserve">Configurations of hardware, software, services and networks shall be established, documented and maintained</t>
  </si>
  <si>
    <t xml:space="preserve">Configuration standards not documented. Need configuration management database and baseline configs</t>
  </si>
  <si>
    <t xml:space="preserve">A.8.10</t>
  </si>
  <si>
    <t xml:space="preserve">Information Deletion</t>
  </si>
  <si>
    <t xml:space="preserve">Information stored in systems, devices or other storage media shall be deleted when no longer required</t>
  </si>
  <si>
    <t xml:space="preserve">No formal data retention or deletion policy. Need to establish retention schedules and secure deletion procedures</t>
  </si>
  <si>
    <t xml:space="preserve">A.8.16</t>
  </si>
  <si>
    <t xml:space="preserve">Monitoring Activities</t>
  </si>
  <si>
    <t xml:space="preserve">Networks, systems and applications shall be monitored for anomalous behavior</t>
  </si>
  <si>
    <t xml:space="preserve">Basic logging in place but need SIEM solution and 24/7 monitoring capability</t>
  </si>
  <si>
    <t xml:space="preserve">A.8.23</t>
  </si>
  <si>
    <t xml:space="preserve">Web Filtering</t>
  </si>
  <si>
    <t xml:space="preserve">Access to external websites shall be managed to reduce exposure to malicious content</t>
  </si>
  <si>
    <t xml:space="preserve">Web filtering solution deployed blocking malicious and inappropriate content</t>
  </si>
  <si>
    <t xml:space="preserve">A.8.24</t>
  </si>
  <si>
    <t xml:space="preserve">Use of Cryptography</t>
  </si>
  <si>
    <t xml:space="preserve">Rules for the effective use of cryptography shall be defined and implemented</t>
  </si>
  <si>
    <t xml:space="preserve">Security Architect</t>
  </si>
  <si>
    <t xml:space="preserve">Encryption used for data at rest and in transit but need formal cryptographic standards policy</t>
  </si>
  <si>
    <t xml:space="preserve">A.8.26</t>
  </si>
  <si>
    <t xml:space="preserve">Application Security Requirements</t>
  </si>
  <si>
    <t xml:space="preserve">Information security requirements shall be identified and applied when developing or acquiring applications</t>
  </si>
  <si>
    <t xml:space="preserve">Dev Manager</t>
  </si>
  <si>
    <t xml:space="preserve">Secure coding guidelines exist but need formal SDLC security integration and security testing</t>
  </si>
  <si>
    <t xml:space="preserve">A.8.28</t>
  </si>
  <si>
    <t xml:space="preserve">Secure Coding</t>
  </si>
  <si>
    <t xml:space="preserve">Secure coding principles shall be applied to software development</t>
  </si>
  <si>
    <t xml:space="preserve">Code reviews conducted but need automated SAST/DAST tools and security training for developers</t>
  </si>
  <si>
    <t xml:space="preserve">A.5.30</t>
  </si>
  <si>
    <t xml:space="preserve">ICT Readiness for Business Continuity</t>
  </si>
  <si>
    <t xml:space="preserve">ICT readiness shall be planned, implemented, maintained and tested</t>
  </si>
  <si>
    <t xml:space="preserve">No formal business continuity plan. Need disaster recovery procedures and regular testing</t>
  </si>
  <si>
    <t xml:space="preserve">Summary Statistics</t>
  </si>
  <si>
    <t xml:space="preserve">Total Controls Assessed:</t>
  </si>
  <si>
    <t xml:space="preserve">Implemented:</t>
  </si>
  <si>
    <t xml:space="preserve">Maturity Score (Average):</t>
  </si>
  <si>
    <t xml:space="preserve">2.15</t>
  </si>
  <si>
    <t xml:space="preserve">Partially Implemented:</t>
  </si>
  <si>
    <t xml:space="preserve">Completion Rate:</t>
  </si>
  <si>
    <t xml:space="preserve">Not Implemented:</t>
  </si>
  <si>
    <t xml:space="preserve">Maturity Levels:</t>
  </si>
  <si>
    <t xml:space="preserve">Level 1 - Initial/Ad-hoc: Processes are unpredictable, poorly controlled, and reactive</t>
  </si>
  <si>
    <t xml:space="preserve">Level 2 - Repeatable: Processes are documented and repeatable, but not standardized</t>
  </si>
  <si>
    <t xml:space="preserve">Level 3 - Defined: Processes are standardized, documented, and consistent across the organization</t>
  </si>
  <si>
    <t xml:space="preserve">Level 4 - Managed: Processes are quantitatively managed and measured</t>
  </si>
  <si>
    <t xml:space="preserve">Level 5 - Optimizing: Focus on continuous improvement through innovation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</si>
</sst>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FE699"/>
        <bgColor rgb="FFE7E6E6"/>
      </patternFill>
    </fill>
    <fill>
      <patternFill patternType="solid">
        <fgColor rgb="FFF4B084"/>
        <bgColor rgb="FFFF99CC"/>
      </patternFill>
    </fill>
    <fill>
      <patternFill patternType="solid">
        <fgColor rgb="FFC6E0B4"/>
        <bgColor rgb="FFD0D0D0"/>
      </patternFill>
    </fill>
    <fill>
      <patternFill patternType="solid">
        <fgColor rgb="FFE7E6E6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E7E6E6"/>
      <rgbColor rgb="FFCCFFFF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084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35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40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49.5" hidden="false" customHeight="true" outlineLevel="0" collapsed="false">
      <c r="A3" s="4" t="s">
        <v>9</v>
      </c>
      <c r="B3" s="4" t="s">
        <v>10</v>
      </c>
      <c r="C3" s="4" t="s">
        <v>11</v>
      </c>
      <c r="D3" s="4" t="s">
        <v>12</v>
      </c>
      <c r="E3" s="5" t="s">
        <v>13</v>
      </c>
      <c r="F3" s="4" t="s">
        <v>14</v>
      </c>
      <c r="G3" s="4" t="s">
        <v>15</v>
      </c>
      <c r="H3" s="4" t="s">
        <v>16</v>
      </c>
    </row>
    <row r="4" customFormat="false" ht="49.5" hidden="false" customHeight="true" outlineLevel="0" collapsed="false">
      <c r="A4" s="4" t="s">
        <v>17</v>
      </c>
      <c r="B4" s="4" t="s">
        <v>18</v>
      </c>
      <c r="C4" s="4" t="s">
        <v>11</v>
      </c>
      <c r="D4" s="4" t="s">
        <v>19</v>
      </c>
      <c r="E4" s="6" t="s">
        <v>20</v>
      </c>
      <c r="F4" s="4" t="s">
        <v>21</v>
      </c>
      <c r="G4" s="4" t="s">
        <v>22</v>
      </c>
      <c r="H4" s="4" t="s">
        <v>23</v>
      </c>
    </row>
    <row r="5" customFormat="false" ht="49.5" hidden="false" customHeight="true" outlineLevel="0" collapsed="false">
      <c r="A5" s="4" t="s">
        <v>24</v>
      </c>
      <c r="B5" s="4" t="s">
        <v>25</v>
      </c>
      <c r="C5" s="4" t="s">
        <v>11</v>
      </c>
      <c r="D5" s="4" t="s">
        <v>26</v>
      </c>
      <c r="E5" s="7" t="s">
        <v>27</v>
      </c>
      <c r="F5" s="4" t="s">
        <v>28</v>
      </c>
      <c r="G5" s="4" t="s">
        <v>29</v>
      </c>
      <c r="H5" s="4" t="s">
        <v>30</v>
      </c>
    </row>
    <row r="6" customFormat="false" ht="49.5" hidden="false" customHeight="true" outlineLevel="0" collapsed="false">
      <c r="A6" s="4" t="s">
        <v>31</v>
      </c>
      <c r="B6" s="4" t="s">
        <v>32</v>
      </c>
      <c r="C6" s="4" t="s">
        <v>11</v>
      </c>
      <c r="D6" s="4" t="s">
        <v>33</v>
      </c>
      <c r="E6" s="5" t="s">
        <v>13</v>
      </c>
      <c r="F6" s="4" t="s">
        <v>14</v>
      </c>
      <c r="G6" s="4" t="s">
        <v>34</v>
      </c>
      <c r="H6" s="4" t="s">
        <v>35</v>
      </c>
    </row>
    <row r="7" customFormat="false" ht="49.5" hidden="false" customHeight="true" outlineLevel="0" collapsed="false">
      <c r="A7" s="4" t="s">
        <v>36</v>
      </c>
      <c r="B7" s="4" t="s">
        <v>37</v>
      </c>
      <c r="C7" s="4" t="s">
        <v>38</v>
      </c>
      <c r="D7" s="4" t="s">
        <v>39</v>
      </c>
      <c r="E7" s="7" t="s">
        <v>27</v>
      </c>
      <c r="F7" s="4" t="s">
        <v>28</v>
      </c>
      <c r="G7" s="4" t="s">
        <v>40</v>
      </c>
      <c r="H7" s="4" t="s">
        <v>41</v>
      </c>
    </row>
    <row r="8" customFormat="false" ht="49.5" hidden="false" customHeight="true" outlineLevel="0" collapsed="false">
      <c r="A8" s="4" t="s">
        <v>42</v>
      </c>
      <c r="B8" s="4" t="s">
        <v>43</v>
      </c>
      <c r="C8" s="4" t="s">
        <v>38</v>
      </c>
      <c r="D8" s="4" t="s">
        <v>44</v>
      </c>
      <c r="E8" s="7" t="s">
        <v>27</v>
      </c>
      <c r="F8" s="4" t="s">
        <v>28</v>
      </c>
      <c r="G8" s="4" t="s">
        <v>45</v>
      </c>
      <c r="H8" s="4" t="s">
        <v>46</v>
      </c>
    </row>
    <row r="9" customFormat="false" ht="49.5" hidden="false" customHeight="true" outlineLevel="0" collapsed="false">
      <c r="A9" s="4" t="s">
        <v>47</v>
      </c>
      <c r="B9" s="4" t="s">
        <v>48</v>
      </c>
      <c r="C9" s="4" t="s">
        <v>38</v>
      </c>
      <c r="D9" s="4" t="s">
        <v>49</v>
      </c>
      <c r="E9" s="5" t="s">
        <v>13</v>
      </c>
      <c r="F9" s="4" t="s">
        <v>14</v>
      </c>
      <c r="G9" s="4" t="s">
        <v>22</v>
      </c>
      <c r="H9" s="4" t="s">
        <v>50</v>
      </c>
    </row>
    <row r="10" customFormat="false" ht="49.5" hidden="false" customHeight="true" outlineLevel="0" collapsed="false">
      <c r="A10" s="4" t="s">
        <v>51</v>
      </c>
      <c r="B10" s="4" t="s">
        <v>52</v>
      </c>
      <c r="C10" s="4" t="s">
        <v>53</v>
      </c>
      <c r="D10" s="4" t="s">
        <v>54</v>
      </c>
      <c r="E10" s="6" t="s">
        <v>20</v>
      </c>
      <c r="F10" s="4" t="s">
        <v>21</v>
      </c>
      <c r="G10" s="4" t="s">
        <v>55</v>
      </c>
      <c r="H10" s="4" t="s">
        <v>56</v>
      </c>
    </row>
    <row r="11" customFormat="false" ht="49.5" hidden="false" customHeight="true" outlineLevel="0" collapsed="false">
      <c r="A11" s="4" t="s">
        <v>57</v>
      </c>
      <c r="B11" s="4" t="s">
        <v>58</v>
      </c>
      <c r="C11" s="4" t="s">
        <v>59</v>
      </c>
      <c r="D11" s="4" t="s">
        <v>60</v>
      </c>
      <c r="E11" s="5" t="s">
        <v>13</v>
      </c>
      <c r="F11" s="4" t="s">
        <v>14</v>
      </c>
      <c r="G11" s="4" t="s">
        <v>61</v>
      </c>
      <c r="H11" s="4" t="s">
        <v>62</v>
      </c>
    </row>
    <row r="12" customFormat="false" ht="49.5" hidden="false" customHeight="true" outlineLevel="0" collapsed="false">
      <c r="A12" s="4" t="s">
        <v>63</v>
      </c>
      <c r="B12" s="4" t="s">
        <v>64</v>
      </c>
      <c r="C12" s="4" t="s">
        <v>59</v>
      </c>
      <c r="D12" s="4" t="s">
        <v>65</v>
      </c>
      <c r="E12" s="7" t="s">
        <v>27</v>
      </c>
      <c r="F12" s="4" t="s">
        <v>28</v>
      </c>
      <c r="G12" s="4" t="s">
        <v>29</v>
      </c>
      <c r="H12" s="4" t="s">
        <v>66</v>
      </c>
    </row>
    <row r="13" customFormat="false" ht="49.5" hidden="false" customHeight="true" outlineLevel="0" collapsed="false">
      <c r="A13" s="4" t="s">
        <v>67</v>
      </c>
      <c r="B13" s="4" t="s">
        <v>68</v>
      </c>
      <c r="C13" s="4" t="s">
        <v>59</v>
      </c>
      <c r="D13" s="4" t="s">
        <v>69</v>
      </c>
      <c r="E13" s="5" t="s">
        <v>13</v>
      </c>
      <c r="F13" s="4" t="s">
        <v>14</v>
      </c>
      <c r="G13" s="4" t="s">
        <v>61</v>
      </c>
      <c r="H13" s="4" t="s">
        <v>70</v>
      </c>
    </row>
    <row r="14" customFormat="false" ht="49.5" hidden="false" customHeight="true" outlineLevel="0" collapsed="false">
      <c r="A14" s="4" t="s">
        <v>71</v>
      </c>
      <c r="B14" s="4" t="s">
        <v>72</v>
      </c>
      <c r="C14" s="4" t="s">
        <v>59</v>
      </c>
      <c r="D14" s="4" t="s">
        <v>73</v>
      </c>
      <c r="E14" s="5" t="s">
        <v>13</v>
      </c>
      <c r="F14" s="4" t="s">
        <v>14</v>
      </c>
      <c r="G14" s="4" t="s">
        <v>22</v>
      </c>
      <c r="H14" s="4" t="s">
        <v>74</v>
      </c>
    </row>
    <row r="15" customFormat="false" ht="49.5" hidden="false" customHeight="true" outlineLevel="0" collapsed="false">
      <c r="A15" s="4" t="s">
        <v>75</v>
      </c>
      <c r="B15" s="4" t="s">
        <v>76</v>
      </c>
      <c r="C15" s="4" t="s">
        <v>59</v>
      </c>
      <c r="D15" s="4" t="s">
        <v>77</v>
      </c>
      <c r="E15" s="6" t="s">
        <v>20</v>
      </c>
      <c r="F15" s="4" t="s">
        <v>21</v>
      </c>
      <c r="G15" s="4" t="s">
        <v>29</v>
      </c>
      <c r="H15" s="4" t="s">
        <v>78</v>
      </c>
    </row>
    <row r="16" customFormat="false" ht="49.5" hidden="false" customHeight="true" outlineLevel="0" collapsed="false">
      <c r="A16" s="4" t="s">
        <v>79</v>
      </c>
      <c r="B16" s="4" t="s">
        <v>80</v>
      </c>
      <c r="C16" s="4" t="s">
        <v>59</v>
      </c>
      <c r="D16" s="4" t="s">
        <v>81</v>
      </c>
      <c r="E16" s="6" t="s">
        <v>20</v>
      </c>
      <c r="F16" s="4" t="s">
        <v>21</v>
      </c>
      <c r="G16" s="4" t="s">
        <v>29</v>
      </c>
      <c r="H16" s="4" t="s">
        <v>82</v>
      </c>
    </row>
    <row r="17" customFormat="false" ht="49.5" hidden="false" customHeight="true" outlineLevel="0" collapsed="false">
      <c r="A17" s="4" t="s">
        <v>83</v>
      </c>
      <c r="B17" s="4" t="s">
        <v>84</v>
      </c>
      <c r="C17" s="4" t="s">
        <v>59</v>
      </c>
      <c r="D17" s="4" t="s">
        <v>85</v>
      </c>
      <c r="E17" s="5" t="s">
        <v>13</v>
      </c>
      <c r="F17" s="4" t="s">
        <v>14</v>
      </c>
      <c r="G17" s="4" t="s">
        <v>22</v>
      </c>
      <c r="H17" s="4" t="s">
        <v>86</v>
      </c>
    </row>
    <row r="18" customFormat="false" ht="49.5" hidden="false" customHeight="true" outlineLevel="0" collapsed="false">
      <c r="A18" s="4" t="s">
        <v>87</v>
      </c>
      <c r="B18" s="4" t="s">
        <v>88</v>
      </c>
      <c r="C18" s="4" t="s">
        <v>59</v>
      </c>
      <c r="D18" s="4" t="s">
        <v>89</v>
      </c>
      <c r="E18" s="7" t="s">
        <v>27</v>
      </c>
      <c r="F18" s="4" t="s">
        <v>28</v>
      </c>
      <c r="G18" s="4" t="s">
        <v>61</v>
      </c>
      <c r="H18" s="4" t="s">
        <v>90</v>
      </c>
    </row>
    <row r="19" customFormat="false" ht="49.5" hidden="false" customHeight="true" outlineLevel="0" collapsed="false">
      <c r="A19" s="4" t="s">
        <v>91</v>
      </c>
      <c r="B19" s="4" t="s">
        <v>92</v>
      </c>
      <c r="C19" s="4" t="s">
        <v>59</v>
      </c>
      <c r="D19" s="4" t="s">
        <v>93</v>
      </c>
      <c r="E19" s="5" t="s">
        <v>13</v>
      </c>
      <c r="F19" s="4" t="s">
        <v>14</v>
      </c>
      <c r="G19" s="4" t="s">
        <v>94</v>
      </c>
      <c r="H19" s="4" t="s">
        <v>95</v>
      </c>
    </row>
    <row r="20" customFormat="false" ht="49.5" hidden="false" customHeight="true" outlineLevel="0" collapsed="false">
      <c r="A20" s="4" t="s">
        <v>96</v>
      </c>
      <c r="B20" s="4" t="s">
        <v>97</v>
      </c>
      <c r="C20" s="4" t="s">
        <v>59</v>
      </c>
      <c r="D20" s="4" t="s">
        <v>98</v>
      </c>
      <c r="E20" s="5" t="s">
        <v>13</v>
      </c>
      <c r="F20" s="4" t="s">
        <v>14</v>
      </c>
      <c r="G20" s="4" t="s">
        <v>99</v>
      </c>
      <c r="H20" s="4" t="s">
        <v>100</v>
      </c>
    </row>
    <row r="21" customFormat="false" ht="49.5" hidden="false" customHeight="true" outlineLevel="0" collapsed="false">
      <c r="A21" s="4" t="s">
        <v>101</v>
      </c>
      <c r="B21" s="4" t="s">
        <v>102</v>
      </c>
      <c r="C21" s="4" t="s">
        <v>59</v>
      </c>
      <c r="D21" s="4" t="s">
        <v>103</v>
      </c>
      <c r="E21" s="5" t="s">
        <v>13</v>
      </c>
      <c r="F21" s="4" t="s">
        <v>14</v>
      </c>
      <c r="G21" s="4" t="s">
        <v>99</v>
      </c>
      <c r="H21" s="4" t="s">
        <v>104</v>
      </c>
    </row>
    <row r="22" customFormat="false" ht="49.5" hidden="false" customHeight="true" outlineLevel="0" collapsed="false">
      <c r="A22" s="4" t="s">
        <v>105</v>
      </c>
      <c r="B22" s="4" t="s">
        <v>106</v>
      </c>
      <c r="C22" s="4" t="s">
        <v>11</v>
      </c>
      <c r="D22" s="4" t="s">
        <v>107</v>
      </c>
      <c r="E22" s="6" t="s">
        <v>20</v>
      </c>
      <c r="F22" s="4" t="s">
        <v>21</v>
      </c>
      <c r="G22" s="4" t="s">
        <v>29</v>
      </c>
      <c r="H22" s="4" t="s">
        <v>108</v>
      </c>
    </row>
    <row r="24" customFormat="false" ht="15" hidden="false" customHeight="true" outlineLevel="0" collapsed="false">
      <c r="A24" s="8" t="s">
        <v>109</v>
      </c>
      <c r="B24" s="8"/>
      <c r="C24" s="8"/>
      <c r="D24" s="8"/>
    </row>
    <row r="25" customFormat="false" ht="15" hidden="false" customHeight="true" outlineLevel="0" collapsed="false">
      <c r="A25" s="9" t="s">
        <v>110</v>
      </c>
      <c r="B25" s="9" t="n">
        <f aca="false">COUNTA(A3:A22)</f>
        <v>20</v>
      </c>
      <c r="C25" s="9" t="s">
        <v>111</v>
      </c>
      <c r="D25" s="9" t="n">
        <f aca="false">COUNTIF(E3:E22,"Implemented")</f>
        <v>5</v>
      </c>
    </row>
    <row r="26" customFormat="false" ht="15" hidden="false" customHeight="true" outlineLevel="0" collapsed="false">
      <c r="A26" s="9" t="s">
        <v>112</v>
      </c>
      <c r="B26" s="10" t="s">
        <v>113</v>
      </c>
      <c r="C26" s="9" t="s">
        <v>114</v>
      </c>
      <c r="D26" s="9" t="n">
        <f aca="false">COUNTIF(E3:E22,"Partially Implemented")</f>
        <v>10</v>
      </c>
    </row>
    <row r="27" customFormat="false" ht="15" hidden="false" customHeight="true" outlineLevel="0" collapsed="false">
      <c r="A27" s="9" t="s">
        <v>115</v>
      </c>
      <c r="B27" s="11" t="n">
        <f aca="false">(COUNTIF(E3:E22,"Implemented")/COUNTA(E3:E22))</f>
        <v>0.25</v>
      </c>
      <c r="C27" s="9" t="s">
        <v>116</v>
      </c>
      <c r="D27" s="9" t="n">
        <f aca="false">COUNTIF(E3:E22,"Not Implemented")</f>
        <v>5</v>
      </c>
    </row>
    <row r="30" customFormat="false" ht="15" hidden="false" customHeight="true" outlineLevel="0" collapsed="false">
      <c r="A30" s="12" t="s">
        <v>117</v>
      </c>
      <c r="B30" s="12"/>
      <c r="C30" s="12"/>
      <c r="D30" s="12"/>
      <c r="E30" s="12"/>
      <c r="F30" s="12"/>
      <c r="G30" s="12"/>
      <c r="H30" s="12"/>
    </row>
    <row r="31" customFormat="false" ht="15" hidden="false" customHeight="true" outlineLevel="0" collapsed="false">
      <c r="A31" s="12" t="s">
        <v>118</v>
      </c>
      <c r="B31" s="12"/>
      <c r="C31" s="12"/>
      <c r="D31" s="12"/>
      <c r="E31" s="12"/>
      <c r="F31" s="12"/>
      <c r="G31" s="12"/>
      <c r="H31" s="12"/>
    </row>
    <row r="32" customFormat="false" ht="15" hidden="false" customHeight="true" outlineLevel="0" collapsed="false">
      <c r="A32" s="12" t="s">
        <v>119</v>
      </c>
      <c r="B32" s="12"/>
      <c r="C32" s="12"/>
      <c r="D32" s="12"/>
      <c r="E32" s="12"/>
      <c r="F32" s="12"/>
      <c r="G32" s="12"/>
      <c r="H32" s="12"/>
    </row>
    <row r="33" customFormat="false" ht="15" hidden="false" customHeight="true" outlineLevel="0" collapsed="false">
      <c r="A33" s="12" t="s">
        <v>120</v>
      </c>
      <c r="B33" s="12"/>
      <c r="C33" s="12"/>
      <c r="D33" s="12"/>
      <c r="E33" s="12"/>
      <c r="F33" s="12"/>
      <c r="G33" s="12"/>
      <c r="H33" s="12"/>
    </row>
    <row r="34" customFormat="false" ht="15" hidden="false" customHeight="true" outlineLevel="0" collapsed="false">
      <c r="A34" s="12" t="s">
        <v>121</v>
      </c>
      <c r="B34" s="12"/>
      <c r="C34" s="12"/>
      <c r="D34" s="12"/>
      <c r="E34" s="12"/>
      <c r="F34" s="12"/>
      <c r="G34" s="12"/>
      <c r="H34" s="12"/>
    </row>
    <row r="35" customFormat="false" ht="15" hidden="false" customHeight="true" outlineLevel="0" collapsed="false">
      <c r="A35" s="12" t="s">
        <v>122</v>
      </c>
      <c r="B35" s="12"/>
      <c r="C35" s="12"/>
      <c r="D35" s="12"/>
      <c r="E35" s="12"/>
      <c r="F35" s="12"/>
      <c r="G35" s="12"/>
      <c r="H35" s="12"/>
    </row>
  </sheetData>
  <mergeCells count="8">
    <mergeCell ref="A1:H1"/>
    <mergeCell ref="A24:D24"/>
    <mergeCell ref="A30:H30"/>
    <mergeCell ref="A31:H31"/>
    <mergeCell ref="A32:H32"/>
    <mergeCell ref="A33:H33"/>
    <mergeCell ref="A34:H34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2026-02-15T13:13:32Z</dcterms:created>
  <dc:creator>openpyxl</dc:creator>
  <dc:description/>
  <dc:language>en-US</dc:language>
  <cp:lastModifiedBy/>
  <dcterms:modified xsi:type="dcterms:W3CDTF">2026-02-15T13:13:47Z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